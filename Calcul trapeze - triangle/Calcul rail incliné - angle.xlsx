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PEZE" sheetId="1" r:id="rId5"/>
    <sheet state="visible" name="TRIANGLE" sheetId="2" r:id="rId6"/>
  </sheets>
  <definedNames/>
  <calcPr/>
</workbook>
</file>

<file path=xl/sharedStrings.xml><?xml version="1.0" encoding="utf-8"?>
<sst xmlns="http://schemas.openxmlformats.org/spreadsheetml/2006/main" count="67" uniqueCount="43">
  <si>
    <t>CONTA</t>
  </si>
  <si>
    <t>INCLINAISON :</t>
  </si>
  <si>
    <t>STORE CALIFORNIEN TRAPÈZE</t>
  </si>
  <si>
    <t>Hypoténuse</t>
  </si>
  <si>
    <t>LARGEUR</t>
  </si>
  <si>
    <t>Hauteur</t>
  </si>
  <si>
    <t>SURFACE</t>
  </si>
  <si>
    <t>LA</t>
  </si>
  <si>
    <t>ANGLE</t>
  </si>
  <si>
    <t>Maxi</t>
  </si>
  <si>
    <t>Mini</t>
  </si>
  <si>
    <t>0 - 20°</t>
  </si>
  <si>
    <t>500 cm</t>
  </si>
  <si>
    <t>40 cm</t>
  </si>
  <si>
    <t>400 cm</t>
  </si>
  <si>
    <t>15 cm</t>
  </si>
  <si>
    <t>15 m²</t>
  </si>
  <si>
    <t>20 - 30°</t>
  </si>
  <si>
    <t>450 cm</t>
  </si>
  <si>
    <t>300 cm</t>
  </si>
  <si>
    <t>10 m²</t>
  </si>
  <si>
    <t>Grande Hauteur</t>
  </si>
  <si>
    <t>Petite Hauteur</t>
  </si>
  <si>
    <t>30 - 40°</t>
  </si>
  <si>
    <t>350 cm</t>
  </si>
  <si>
    <t>275 cm</t>
  </si>
  <si>
    <t>6 m²</t>
  </si>
  <si>
    <t>40 - 45°</t>
  </si>
  <si>
    <t>250 cm</t>
  </si>
  <si>
    <t>3 m²</t>
  </si>
  <si>
    <t>STORE PLISSÉ TRAPÈZE</t>
  </si>
  <si>
    <t>Angle maxi</t>
  </si>
  <si>
    <t>Hypoténuse maxi</t>
  </si>
  <si>
    <t>Hauteur maxi plis 20</t>
  </si>
  <si>
    <t>Hauteur maxi plis 30</t>
  </si>
  <si>
    <t>30°</t>
  </si>
  <si>
    <t>180 cm</t>
  </si>
  <si>
    <t>Base</t>
  </si>
  <si>
    <t>STORE PLISSÉ TRIANGLE</t>
  </si>
  <si>
    <t>Hauteur maxi</t>
  </si>
  <si>
    <t>60°</t>
  </si>
  <si>
    <t>210 cm</t>
  </si>
  <si>
    <t>200 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</si>
</sst>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2.0"/>
      <color rgb="FF000000"/>
      <name val="Calibri"/>
    </font>
    <font>
      <sz val="11.0"/>
      <color rgb="FFFFFFFF"/>
      <name val="Calibri"/>
    </font>
    <font>
      <b/>
      <sz val="11.0"/>
      <color theme="1"/>
      <name val="Calibri"/>
    </font>
    <font>
      <sz val="11.0"/>
      <color rgb="FFC00000"/>
      <name val="Calibri"/>
    </font>
    <font>
      <b/>
      <sz val="11.0"/>
      <color rgb="FFFFFFFF"/>
      <name val="Calibri"/>
    </font>
    <font/>
    <font>
      <b/>
      <color theme="1"/>
      <name val="Calibri"/>
      <scheme val="minor"/>
    </font>
    <font>
      <sz val="11.0"/>
      <color rgb="FF0070C0"/>
      <name val="Calibri"/>
    </font>
    <font>
      <sz val="11.0"/>
      <color rgb="FF00B050"/>
      <name val="Calibri"/>
    </font>
    <font>
      <sz val="11.0"/>
      <color rgb="FF7030A0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779E91"/>
        <bgColor rgb="FF779E91"/>
      </patternFill>
    </fill>
    <fill>
      <patternFill patternType="solid">
        <fgColor rgb="FFE5EAE9"/>
        <bgColor rgb="FFE5EAE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Border="1" applyFill="1" applyFont="1"/>
    <xf borderId="2" fillId="2" fontId="2" numFmtId="0" xfId="0" applyBorder="1" applyFont="1"/>
    <xf borderId="2" fillId="2" fontId="3" numFmtId="0" xfId="0" applyAlignment="1" applyBorder="1" applyFont="1">
      <alignment horizontal="right" readingOrder="0"/>
    </xf>
    <xf borderId="2" fillId="2" fontId="2" numFmtId="2" xfId="0" applyAlignment="1" applyBorder="1" applyFont="1" applyNumberFormat="1">
      <alignment horizontal="left"/>
    </xf>
    <xf borderId="3" fillId="2" fontId="4" numFmtId="0" xfId="0" applyBorder="1" applyFont="1"/>
    <xf borderId="0" fillId="0" fontId="5" numFmtId="0" xfId="0" applyAlignment="1" applyFont="1">
      <alignment readingOrder="0"/>
    </xf>
    <xf borderId="0" fillId="0" fontId="2" numFmtId="0" xfId="0" applyFont="1"/>
    <xf borderId="4" fillId="2" fontId="1" numFmtId="0" xfId="0" applyBorder="1" applyFont="1"/>
    <xf borderId="0" fillId="2" fontId="2" numFmtId="0" xfId="0" applyFont="1"/>
    <xf borderId="5" fillId="0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/>
    </xf>
    <xf borderId="0" fillId="2" fontId="2" numFmtId="0" xfId="0" applyAlignment="1" applyFont="1">
      <alignment readingOrder="0"/>
    </xf>
    <xf borderId="6" fillId="2" fontId="2" numFmtId="0" xfId="0" applyBorder="1" applyFont="1"/>
    <xf borderId="7" fillId="3" fontId="7" numFmtId="0" xfId="0" applyAlignment="1" applyBorder="1" applyFill="1" applyFont="1">
      <alignment horizontal="center" vertical="center"/>
    </xf>
    <xf borderId="8" fillId="3" fontId="7" numFmtId="0" xfId="0" applyAlignment="1" applyBorder="1" applyFont="1">
      <alignment horizontal="center" readingOrder="0" vertical="center"/>
    </xf>
    <xf borderId="9" fillId="0" fontId="8" numFmtId="0" xfId="0" applyBorder="1" applyFont="1"/>
    <xf borderId="7" fillId="3" fontId="7" numFmtId="0" xfId="0" applyAlignment="1" applyBorder="1" applyFont="1">
      <alignment horizontal="center" readingOrder="0" vertical="center"/>
    </xf>
    <xf borderId="10" fillId="0" fontId="6" numFmtId="2" xfId="0" applyBorder="1" applyFont="1" applyNumberFormat="1"/>
    <xf borderId="0" fillId="2" fontId="9" numFmtId="0" xfId="0" applyAlignment="1" applyFont="1">
      <alignment readingOrder="0"/>
    </xf>
    <xf borderId="7" fillId="4" fontId="2" numFmtId="0" xfId="0" applyAlignment="1" applyBorder="1" applyFill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0" fillId="5" fontId="2" numFmtId="0" xfId="0" applyAlignment="1" applyFill="1" applyFont="1">
      <alignment readingOrder="0"/>
    </xf>
    <xf borderId="11" fillId="0" fontId="8" numFmtId="0" xfId="0" applyBorder="1" applyFont="1"/>
    <xf borderId="5" fillId="0" fontId="10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center" readingOrder="0"/>
    </xf>
    <xf borderId="6" fillId="2" fontId="11" numFmtId="0" xfId="0" applyAlignment="1" applyBorder="1" applyFont="1">
      <alignment horizontal="center"/>
    </xf>
    <xf borderId="10" fillId="0" fontId="10" numFmtId="0" xfId="0" applyAlignment="1" applyBorder="1" applyFont="1">
      <alignment readingOrder="0"/>
    </xf>
    <xf borderId="10" fillId="0" fontId="11" numFmtId="0" xfId="0" applyAlignment="1" applyBorder="1" applyFont="1">
      <alignment readingOrder="0"/>
    </xf>
    <xf borderId="10" fillId="0" fontId="8" numFmtId="0" xfId="0" applyBorder="1" applyFont="1"/>
    <xf borderId="8" fillId="0" fontId="2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/>
    </xf>
    <xf borderId="5" fillId="0" fontId="12" numFmtId="0" xfId="0" applyAlignment="1" applyBorder="1" applyFont="1">
      <alignment horizontal="center" readingOrder="0"/>
    </xf>
    <xf borderId="10" fillId="0" fontId="12" numFmtId="2" xfId="0" applyAlignment="1" applyBorder="1" applyFont="1" applyNumberFormat="1">
      <alignment readingOrder="0"/>
    </xf>
    <xf borderId="12" fillId="2" fontId="1" numFmtId="0" xfId="0" applyBorder="1" applyFont="1"/>
    <xf borderId="13" fillId="2" fontId="1" numFmtId="0" xfId="0" applyBorder="1" applyFont="1"/>
    <xf borderId="14" fillId="2" fontId="1" numFmtId="0" xfId="0" applyBorder="1" applyFont="1"/>
    <xf borderId="0" fillId="0" fontId="2" numFmtId="0" xfId="0" applyFont="1"/>
    <xf borderId="0" fillId="6" fontId="2" numFmtId="0" xfId="0" applyFill="1" applyFont="1"/>
    <xf borderId="1" fillId="2" fontId="13" numFmtId="0" xfId="0" applyBorder="1" applyFont="1"/>
    <xf borderId="4" fillId="2" fontId="2" numFmtId="0" xfId="0" applyBorder="1" applyFont="1"/>
    <xf borderId="10" fillId="0" fontId="6" numFmtId="2" xfId="0" applyAlignment="1" applyBorder="1" applyFont="1" applyNumberFormat="1">
      <alignment readingOrder="0"/>
    </xf>
    <xf borderId="0" fillId="2" fontId="5" numFmtId="0" xfId="0" applyAlignment="1" applyFont="1">
      <alignment readingOrder="0"/>
    </xf>
    <xf borderId="4" fillId="2" fontId="10" numFmtId="0" xfId="0" applyAlignment="1" applyBorder="1" applyFont="1">
      <alignment horizontal="center"/>
    </xf>
    <xf borderId="5" fillId="0" fontId="10" numFmtId="0" xfId="0" applyAlignment="1" applyBorder="1" applyFont="1">
      <alignment horizontal="center"/>
    </xf>
    <xf borderId="5" fillId="0" fontId="11" numFmtId="0" xfId="0" applyAlignment="1" applyBorder="1" applyFont="1">
      <alignment horizontal="center"/>
    </xf>
    <xf borderId="12" fillId="2" fontId="2" numFmtId="0" xfId="0" applyBorder="1" applyFont="1"/>
    <xf borderId="13" fillId="2" fontId="2" numFmtId="0" xfId="0" applyBorder="1" applyFont="1"/>
    <xf borderId="14" fillId="2" fontId="2" numFmtId="0" xfId="0" applyBorder="1" applyFont="1"/>
    <xf borderId="0" fillId="6" fontId="1" numFmtId="0" xfId="0" applyFont="1"/>
    <xf borderId="1" fillId="2" fontId="2" numFmtId="0" xfId="0" applyBorder="1" applyFont="1"/>
    <xf borderId="5" fillId="6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10" fillId="6" fontId="6" numFmtId="2" xfId="0" applyBorder="1" applyFont="1" applyNumberFormat="1"/>
    <xf borderId="0" fillId="0" fontId="10" numFmtId="0" xfId="0" applyAlignment="1" applyFont="1">
      <alignment horizontal="center"/>
    </xf>
    <xf borderId="5" fillId="6" fontId="10" numFmtId="0" xfId="0" applyAlignment="1" applyBorder="1" applyFont="1">
      <alignment horizontal="center"/>
    </xf>
    <xf borderId="5" fillId="6" fontId="11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4" fillId="2" fontId="10" numFmtId="0" xfId="0" applyAlignment="1" applyBorder="1" applyFont="1">
      <alignment readingOrder="0"/>
    </xf>
    <xf borderId="10" fillId="6" fontId="10" numFmtId="0" xfId="0" applyAlignment="1" applyBorder="1" applyFont="1">
      <alignment readingOrder="0"/>
    </xf>
    <xf borderId="10" fillId="6" fontId="11" numFmtId="0" xfId="0" applyAlignment="1" applyBorder="1" applyFont="1">
      <alignment readingOrder="0"/>
    </xf>
    <xf borderId="5" fillId="6" fontId="12" numFmtId="0" xfId="0" applyAlignment="1" applyBorder="1" applyFont="1">
      <alignment horizontal="center" readingOrder="0"/>
    </xf>
    <xf borderId="10" fillId="6" fontId="12" numFmtId="2" xfId="0" applyAlignment="1" applyBorder="1" applyFont="1" applyNumberFormat="1">
      <alignment readingOrder="0"/>
    </xf>
    <xf borderId="0" fillId="0" fontId="10" numFmtId="0" xfId="0" applyAlignment="1" applyFont="1">
      <alignment horizontal="center" readingOrder="0"/>
    </xf>
    <xf borderId="4" fillId="2" fontId="10" numFmtId="0" xfId="0" applyAlignment="1" applyBorder="1" applyFont="1">
      <alignment horizontal="center" readingOrder="0"/>
    </xf>
    <xf borderId="5" fillId="6" fontId="10" numFmtId="0" xfId="0" applyAlignment="1" applyBorder="1" applyFont="1">
      <alignment horizontal="center" readingOrder="0"/>
    </xf>
    <xf borderId="5" fillId="6" fontId="11" numFmtId="0" xfId="0" applyAlignment="1" applyBorder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628650</xdr:colOff>
      <xdr:row>21</xdr:row>
      <xdr:rowOff>190500</xdr:rowOff>
    </xdr:from>
    <xdr:ext cx="952500" cy="1514475"/>
    <xdr:sp>
      <xdr:nvSpPr>
        <xdr:cNvPr id="3" name="Shape 3"/>
        <xdr:cNvSpPr/>
      </xdr:nvSpPr>
      <xdr:spPr>
        <a:xfrm>
          <a:off x="2970000" y="1856250"/>
          <a:ext cx="1283475" cy="2259325"/>
        </a:xfrm>
        <a:prstGeom prst="flowChartManualInput">
          <a:avLst/>
        </a:prstGeom>
        <a:solidFill>
          <a:srgbClr val="779E9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628650</xdr:colOff>
      <xdr:row>4</xdr:row>
      <xdr:rowOff>180975</xdr:rowOff>
    </xdr:from>
    <xdr:ext cx="952500" cy="1514475"/>
    <xdr:sp>
      <xdr:nvSpPr>
        <xdr:cNvPr id="5" name="Shape 5"/>
        <xdr:cNvSpPr/>
      </xdr:nvSpPr>
      <xdr:spPr>
        <a:xfrm flipH="1">
          <a:off x="5614000" y="2181550"/>
          <a:ext cx="1340950" cy="2221575"/>
        </a:xfrm>
        <a:prstGeom prst="flowChartManualInput">
          <a:avLst/>
        </a:prstGeom>
        <a:solidFill>
          <a:srgbClr val="779E9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447675</xdr:colOff>
      <xdr:row>4</xdr:row>
      <xdr:rowOff>161925</xdr:rowOff>
    </xdr:from>
    <xdr:ext cx="1552575" cy="1524000"/>
    <xdr:sp>
      <xdr:nvSpPr>
        <xdr:cNvPr id="6" name="Shape 6"/>
        <xdr:cNvSpPr/>
      </xdr:nvSpPr>
      <xdr:spPr>
        <a:xfrm flipH="1">
          <a:off x="3812750" y="2101500"/>
          <a:ext cx="1320900" cy="1620900"/>
        </a:xfrm>
        <a:prstGeom prst="rtTriangle">
          <a:avLst/>
        </a:prstGeom>
        <a:solidFill>
          <a:srgbClr val="779E9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447675</xdr:colOff>
      <xdr:row>21</xdr:row>
      <xdr:rowOff>171450</xdr:rowOff>
    </xdr:from>
    <xdr:ext cx="1552575" cy="1524000"/>
    <xdr:sp>
      <xdr:nvSpPr>
        <xdr:cNvPr id="7" name="Shape 7"/>
        <xdr:cNvSpPr/>
      </xdr:nvSpPr>
      <xdr:spPr>
        <a:xfrm>
          <a:off x="2882050" y="1551100"/>
          <a:ext cx="1591200" cy="2161500"/>
        </a:xfrm>
        <a:prstGeom prst="rtTriangle">
          <a:avLst/>
        </a:prstGeom>
        <a:solidFill>
          <a:srgbClr val="779E9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.29"/>
    <col customWidth="1" min="3" max="5" width="14.43"/>
    <col customWidth="1" min="6" max="6" width="6.57"/>
    <col customWidth="1" min="7" max="7" width="14.43"/>
    <col customWidth="1" min="8" max="8" width="2.29"/>
    <col customWidth="1" min="9" max="18" width="10.86"/>
  </cols>
  <sheetData>
    <row r="1" ht="15.0" customHeight="1">
      <c r="A1" s="1" t="s">
        <v>0</v>
      </c>
    </row>
    <row r="2" ht="15.0" customHeight="1">
      <c r="B2" s="2"/>
      <c r="C2" s="3"/>
      <c r="D2" s="3"/>
      <c r="E2" s="4" t="s">
        <v>1</v>
      </c>
      <c r="F2" s="5">
        <f>DEGREES(H2)</f>
        <v>18.43494882</v>
      </c>
      <c r="G2" s="3"/>
      <c r="H2" s="6">
        <f>ASIN(((C8-G8)/D4))</f>
        <v>0.3217505544</v>
      </c>
      <c r="J2" s="7" t="s">
        <v>2</v>
      </c>
      <c r="K2" s="8"/>
      <c r="L2" s="8"/>
      <c r="M2" s="8"/>
      <c r="N2" s="8"/>
      <c r="O2" s="8"/>
      <c r="P2" s="8"/>
    </row>
    <row r="3" ht="15.0" customHeight="1">
      <c r="B3" s="9"/>
      <c r="C3" s="10"/>
      <c r="D3" s="11" t="s">
        <v>3</v>
      </c>
      <c r="E3" s="12"/>
      <c r="F3" s="10"/>
      <c r="G3" s="13"/>
      <c r="H3" s="14"/>
      <c r="J3" s="15"/>
      <c r="K3" s="16" t="s">
        <v>4</v>
      </c>
      <c r="L3" s="17"/>
      <c r="M3" s="16" t="s">
        <v>5</v>
      </c>
      <c r="N3" s="17"/>
      <c r="O3" s="18" t="s">
        <v>6</v>
      </c>
      <c r="P3" s="8"/>
    </row>
    <row r="4" ht="15.0" customHeight="1">
      <c r="B4" s="9"/>
      <c r="C4" s="10"/>
      <c r="D4" s="19">
        <f>SQRT(((G8-C8)*(G8-C8))+(E16*E16))</f>
        <v>158.113883</v>
      </c>
      <c r="E4" s="10"/>
      <c r="F4" s="13"/>
      <c r="G4" s="20" t="s">
        <v>7</v>
      </c>
      <c r="H4" s="14"/>
      <c r="J4" s="18" t="s">
        <v>8</v>
      </c>
      <c r="K4" s="18" t="s">
        <v>9</v>
      </c>
      <c r="L4" s="18" t="s">
        <v>10</v>
      </c>
      <c r="M4" s="18" t="s">
        <v>9</v>
      </c>
      <c r="N4" s="18" t="s">
        <v>10</v>
      </c>
      <c r="O4" s="18" t="s">
        <v>9</v>
      </c>
      <c r="P4" s="8"/>
    </row>
    <row r="5" ht="15.0" customHeight="1">
      <c r="B5" s="9"/>
      <c r="C5" s="10"/>
      <c r="D5" s="10"/>
      <c r="E5" s="10"/>
      <c r="F5" s="10"/>
      <c r="G5" s="13"/>
      <c r="H5" s="14"/>
      <c r="J5" s="21" t="s">
        <v>11</v>
      </c>
      <c r="K5" s="22" t="s">
        <v>12</v>
      </c>
      <c r="L5" s="23" t="s">
        <v>13</v>
      </c>
      <c r="M5" s="22" t="s">
        <v>14</v>
      </c>
      <c r="N5" s="23" t="s">
        <v>15</v>
      </c>
      <c r="O5" s="22" t="s">
        <v>16</v>
      </c>
      <c r="P5" s="24"/>
    </row>
    <row r="6" ht="15.0" customHeight="1">
      <c r="B6" s="9"/>
      <c r="C6" s="10"/>
      <c r="D6" s="10"/>
      <c r="E6" s="10"/>
      <c r="F6" s="10"/>
      <c r="G6" s="10"/>
      <c r="H6" s="14"/>
      <c r="J6" s="21" t="s">
        <v>17</v>
      </c>
      <c r="K6" s="22" t="s">
        <v>18</v>
      </c>
      <c r="L6" s="25"/>
      <c r="M6" s="22" t="s">
        <v>19</v>
      </c>
      <c r="N6" s="25"/>
      <c r="O6" s="22" t="s">
        <v>20</v>
      </c>
      <c r="P6" s="24"/>
    </row>
    <row r="7" ht="15.0" customHeight="1">
      <c r="B7" s="9"/>
      <c r="C7" s="26" t="s">
        <v>21</v>
      </c>
      <c r="D7" s="10"/>
      <c r="E7" s="10"/>
      <c r="F7" s="10"/>
      <c r="G7" s="27" t="s">
        <v>22</v>
      </c>
      <c r="H7" s="28"/>
      <c r="J7" s="21" t="s">
        <v>23</v>
      </c>
      <c r="K7" s="22" t="s">
        <v>24</v>
      </c>
      <c r="L7" s="25"/>
      <c r="M7" s="22" t="s">
        <v>25</v>
      </c>
      <c r="N7" s="25"/>
      <c r="O7" s="22" t="s">
        <v>26</v>
      </c>
      <c r="P7" s="24"/>
    </row>
    <row r="8" ht="15.0" customHeight="1">
      <c r="B8" s="9"/>
      <c r="C8" s="29">
        <v>200.0</v>
      </c>
      <c r="D8" s="10"/>
      <c r="E8" s="10"/>
      <c r="F8" s="10"/>
      <c r="G8" s="30">
        <v>150.0</v>
      </c>
      <c r="H8" s="14"/>
      <c r="J8" s="21" t="s">
        <v>27</v>
      </c>
      <c r="K8" s="22" t="s">
        <v>28</v>
      </c>
      <c r="L8" s="31"/>
      <c r="M8" s="22" t="s">
        <v>28</v>
      </c>
      <c r="N8" s="31"/>
      <c r="O8" s="22" t="s">
        <v>29</v>
      </c>
      <c r="P8" s="24"/>
    </row>
    <row r="9" ht="15.0" customHeight="1">
      <c r="B9" s="9"/>
      <c r="C9" s="10"/>
      <c r="D9" s="10"/>
      <c r="E9" s="10"/>
      <c r="F9" s="10"/>
      <c r="G9" s="10"/>
      <c r="H9" s="14"/>
      <c r="J9" s="8"/>
      <c r="K9" s="8"/>
      <c r="L9" s="8"/>
      <c r="M9" s="8"/>
      <c r="N9" s="8"/>
      <c r="O9" s="8"/>
      <c r="P9" s="8"/>
    </row>
    <row r="10" ht="15.0" customHeight="1">
      <c r="B10" s="9"/>
      <c r="C10" s="10"/>
      <c r="D10" s="10"/>
      <c r="E10" s="10"/>
      <c r="F10" s="10"/>
      <c r="G10" s="13"/>
      <c r="H10" s="14"/>
      <c r="J10" s="7" t="s">
        <v>30</v>
      </c>
      <c r="K10" s="8"/>
      <c r="L10" s="8"/>
      <c r="M10" s="8"/>
      <c r="N10" s="8"/>
      <c r="O10" s="8"/>
      <c r="P10" s="8"/>
    </row>
    <row r="11" ht="15.0" customHeight="1">
      <c r="B11" s="9"/>
      <c r="C11" s="13"/>
      <c r="D11" s="10"/>
      <c r="E11" s="10"/>
      <c r="F11" s="10"/>
      <c r="G11" s="10"/>
      <c r="H11" s="14"/>
      <c r="J11" s="18" t="s">
        <v>31</v>
      </c>
      <c r="K11" s="16" t="s">
        <v>32</v>
      </c>
      <c r="L11" s="17"/>
      <c r="M11" s="16" t="s">
        <v>33</v>
      </c>
      <c r="N11" s="17"/>
      <c r="O11" s="16" t="s">
        <v>34</v>
      </c>
      <c r="P11" s="17"/>
    </row>
    <row r="12" ht="15.0" customHeight="1">
      <c r="B12" s="9"/>
      <c r="C12" s="10"/>
      <c r="D12" s="10"/>
      <c r="E12" s="10"/>
      <c r="F12" s="10"/>
      <c r="G12" s="10"/>
      <c r="H12" s="14"/>
      <c r="J12" s="22" t="s">
        <v>35</v>
      </c>
      <c r="K12" s="32" t="s">
        <v>36</v>
      </c>
      <c r="L12" s="17"/>
      <c r="M12" s="32" t="s">
        <v>28</v>
      </c>
      <c r="N12" s="17"/>
      <c r="O12" s="32" t="s">
        <v>19</v>
      </c>
      <c r="P12" s="17"/>
    </row>
    <row r="13" ht="15.0" customHeight="1">
      <c r="B13" s="9"/>
      <c r="C13" s="10"/>
      <c r="D13" s="10"/>
      <c r="E13" s="10"/>
      <c r="F13" s="10"/>
      <c r="G13" s="10"/>
      <c r="H13" s="14"/>
    </row>
    <row r="14" ht="15.0" customHeight="1">
      <c r="B14" s="9"/>
      <c r="C14" s="10"/>
      <c r="D14" s="10"/>
      <c r="E14" s="10"/>
      <c r="F14" s="10"/>
      <c r="G14" s="10"/>
      <c r="H14" s="14"/>
    </row>
    <row r="15" ht="15.0" customHeight="1">
      <c r="B15" s="9"/>
      <c r="C15" s="10"/>
      <c r="D15" s="33"/>
      <c r="E15" s="34" t="s">
        <v>37</v>
      </c>
      <c r="F15" s="33"/>
      <c r="G15" s="10"/>
      <c r="H15" s="14"/>
    </row>
    <row r="16" ht="15.0" customHeight="1">
      <c r="B16" s="9"/>
      <c r="C16" s="10"/>
      <c r="D16" s="10"/>
      <c r="E16" s="35">
        <v>150.0</v>
      </c>
      <c r="F16" s="10"/>
      <c r="G16" s="10"/>
      <c r="H16" s="14"/>
    </row>
    <row r="17" ht="11.25" customHeight="1">
      <c r="B17" s="36"/>
      <c r="C17" s="37"/>
      <c r="D17" s="37"/>
      <c r="E17" s="37"/>
      <c r="F17" s="37"/>
      <c r="G17" s="37"/>
      <c r="H17" s="38"/>
    </row>
    <row r="18" ht="15.0" customHeight="1">
      <c r="B18" s="39"/>
      <c r="C18" s="40"/>
      <c r="D18" s="40"/>
      <c r="E18" s="40"/>
      <c r="F18" s="40"/>
      <c r="G18" s="40"/>
      <c r="H18" s="40"/>
    </row>
    <row r="19" ht="15.0" customHeight="1">
      <c r="B19" s="41"/>
      <c r="C19" s="3"/>
      <c r="D19" s="3"/>
      <c r="E19" s="4" t="s">
        <v>1</v>
      </c>
      <c r="F19" s="5">
        <f>DEGREES(H19)</f>
        <v>36.99629552</v>
      </c>
      <c r="G19" s="3"/>
      <c r="H19" s="6">
        <f>ASIN(((G25-C25)/D21))</f>
        <v>0.6457071678</v>
      </c>
    </row>
    <row r="20" ht="15.0" customHeight="1">
      <c r="B20" s="42"/>
      <c r="C20" s="10"/>
      <c r="D20" s="11" t="s">
        <v>3</v>
      </c>
      <c r="E20" s="12"/>
      <c r="F20" s="10"/>
      <c r="G20" s="13"/>
      <c r="H20" s="14"/>
      <c r="J20" s="7"/>
      <c r="K20" s="7"/>
      <c r="L20" s="7"/>
      <c r="M20" s="7"/>
      <c r="N20" s="7"/>
      <c r="O20" s="7"/>
      <c r="P20" s="7"/>
    </row>
    <row r="21" ht="15.0" customHeight="1">
      <c r="B21" s="42"/>
      <c r="C21" s="10"/>
      <c r="D21" s="43">
        <f>SQRT(((G25-C25)*(G25-C25))+(E33*E33))</f>
        <v>244.7805956</v>
      </c>
      <c r="E21" s="10"/>
      <c r="F21" s="10"/>
      <c r="G21" s="44" t="s">
        <v>7</v>
      </c>
      <c r="H21" s="14"/>
      <c r="J21" s="7"/>
      <c r="K21" s="7"/>
      <c r="L21" s="7"/>
      <c r="M21" s="7"/>
      <c r="N21" s="7"/>
      <c r="O21" s="7"/>
      <c r="P21" s="7"/>
    </row>
    <row r="22" ht="15.0" customHeight="1">
      <c r="B22" s="42"/>
      <c r="C22" s="10"/>
      <c r="D22" s="10"/>
      <c r="E22" s="10"/>
      <c r="F22" s="10"/>
      <c r="G22" s="13"/>
      <c r="H22" s="14"/>
      <c r="J22" s="7"/>
      <c r="K22" s="7"/>
      <c r="L22" s="7"/>
      <c r="M22" s="7"/>
      <c r="N22" s="7"/>
      <c r="O22" s="7"/>
      <c r="P22" s="7"/>
    </row>
    <row r="23" ht="15.0" customHeight="1">
      <c r="B23" s="42"/>
      <c r="C23" s="10"/>
      <c r="D23" s="10"/>
      <c r="E23" s="10"/>
      <c r="F23" s="10"/>
      <c r="G23" s="10"/>
      <c r="H23" s="14"/>
      <c r="J23" s="7"/>
      <c r="K23" s="7"/>
      <c r="L23" s="7"/>
      <c r="M23" s="7"/>
      <c r="N23" s="7"/>
      <c r="O23" s="7"/>
      <c r="P23" s="7"/>
    </row>
    <row r="24" ht="15.0" customHeight="1">
      <c r="B24" s="45"/>
      <c r="C24" s="46" t="s">
        <v>22</v>
      </c>
      <c r="D24" s="10"/>
      <c r="E24" s="10"/>
      <c r="F24" s="10"/>
      <c r="G24" s="47" t="s">
        <v>21</v>
      </c>
      <c r="H24" s="28"/>
    </row>
    <row r="25" ht="15.0" customHeight="1">
      <c r="B25" s="42"/>
      <c r="C25" s="29">
        <v>22.0</v>
      </c>
      <c r="D25" s="10"/>
      <c r="E25" s="10"/>
      <c r="F25" s="10"/>
      <c r="G25" s="30">
        <v>169.3</v>
      </c>
      <c r="H25" s="14"/>
    </row>
    <row r="26" ht="15.0" customHeight="1">
      <c r="B26" s="42"/>
      <c r="C26" s="10"/>
      <c r="D26" s="10"/>
      <c r="E26" s="10"/>
      <c r="F26" s="10"/>
      <c r="G26" s="10"/>
      <c r="H26" s="14"/>
    </row>
    <row r="27" ht="15.0" customHeight="1">
      <c r="B27" s="42"/>
      <c r="C27" s="10"/>
      <c r="D27" s="10"/>
      <c r="E27" s="10"/>
      <c r="F27" s="10"/>
      <c r="G27" s="10"/>
      <c r="H27" s="14"/>
    </row>
    <row r="28" ht="15.0" customHeight="1">
      <c r="B28" s="42"/>
      <c r="C28" s="10"/>
      <c r="D28" s="10"/>
      <c r="E28" s="10"/>
      <c r="F28" s="10"/>
      <c r="G28" s="13"/>
      <c r="H28" s="14"/>
    </row>
    <row r="29" ht="15.0" customHeight="1">
      <c r="B29" s="42"/>
      <c r="C29" s="10"/>
      <c r="D29" s="10"/>
      <c r="E29" s="10"/>
      <c r="F29" s="10"/>
      <c r="G29" s="10"/>
      <c r="H29" s="14"/>
    </row>
    <row r="30" ht="15.0" customHeight="1">
      <c r="B30" s="42"/>
      <c r="C30" s="10"/>
      <c r="D30" s="10"/>
      <c r="E30" s="10"/>
      <c r="F30" s="10"/>
      <c r="G30" s="10"/>
      <c r="H30" s="14"/>
    </row>
    <row r="31" ht="15.0" customHeight="1">
      <c r="B31" s="42"/>
      <c r="C31" s="10"/>
      <c r="D31" s="10"/>
      <c r="E31" s="10"/>
      <c r="F31" s="10"/>
      <c r="G31" s="10"/>
      <c r="H31" s="14"/>
    </row>
    <row r="32" ht="15.0" customHeight="1">
      <c r="B32" s="42"/>
      <c r="C32" s="10"/>
      <c r="D32" s="33"/>
      <c r="E32" s="34" t="s">
        <v>37</v>
      </c>
      <c r="F32" s="33"/>
      <c r="G32" s="10"/>
      <c r="H32" s="14"/>
    </row>
    <row r="33" ht="15.0" customHeight="1">
      <c r="B33" s="42"/>
      <c r="C33" s="10"/>
      <c r="D33" s="10"/>
      <c r="E33" s="35">
        <v>195.5</v>
      </c>
      <c r="F33" s="10"/>
      <c r="G33" s="10"/>
      <c r="H33" s="14"/>
    </row>
    <row r="34" ht="11.25" customHeight="1">
      <c r="B34" s="48"/>
      <c r="C34" s="49"/>
      <c r="D34" s="49"/>
      <c r="E34" s="49"/>
      <c r="F34" s="49"/>
      <c r="G34" s="49"/>
      <c r="H34" s="50"/>
    </row>
    <row r="35" ht="15.0" customHeight="1">
      <c r="C35" s="51"/>
      <c r="D35" s="51"/>
      <c r="E35" s="51"/>
      <c r="F35" s="51"/>
      <c r="G35" s="51"/>
      <c r="H35" s="51"/>
    </row>
  </sheetData>
  <mergeCells count="10">
    <mergeCell ref="K12:L12"/>
    <mergeCell ref="M12:N12"/>
    <mergeCell ref="O12:P12"/>
    <mergeCell ref="K3:L3"/>
    <mergeCell ref="M3:N3"/>
    <mergeCell ref="L5:L8"/>
    <mergeCell ref="N5:N8"/>
    <mergeCell ref="K11:L11"/>
    <mergeCell ref="M11:N11"/>
    <mergeCell ref="O11:P11"/>
  </mergeCells>
  <conditionalFormatting sqref="P5:P8">
    <cfRule type="notContainsBlanks" dxfId="0" priority="1">
      <formula>LEN(TRIM(P5))&gt;0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.29"/>
    <col customWidth="1" min="3" max="5" width="14.43"/>
    <col customWidth="1" min="6" max="6" width="6.57"/>
    <col customWidth="1" min="7" max="7" width="14.43"/>
    <col customWidth="1" min="8" max="8" width="2.29"/>
    <col customWidth="1" min="9" max="18" width="10.86"/>
  </cols>
  <sheetData>
    <row r="1" ht="15.0" customHeight="1"/>
    <row r="2" ht="15.0" customHeight="1">
      <c r="A2" s="39"/>
      <c r="B2" s="52"/>
      <c r="C2" s="3"/>
      <c r="D2" s="3"/>
      <c r="E2" s="4" t="s">
        <v>1</v>
      </c>
      <c r="F2" s="5">
        <f>DEGREES(H2)</f>
        <v>29.99952753</v>
      </c>
      <c r="G2" s="3"/>
      <c r="H2" s="6">
        <f>ASIN(((G8-C8)/D4))</f>
        <v>0.5235905294</v>
      </c>
      <c r="J2" s="7" t="s">
        <v>38</v>
      </c>
      <c r="K2" s="8"/>
      <c r="L2" s="8"/>
      <c r="M2" s="8"/>
      <c r="N2" s="8"/>
      <c r="O2" s="8"/>
      <c r="P2" s="8"/>
      <c r="Q2" s="8"/>
      <c r="R2" s="8"/>
    </row>
    <row r="3" ht="15.0" customHeight="1">
      <c r="A3" s="39"/>
      <c r="B3" s="42"/>
      <c r="C3" s="10"/>
      <c r="D3" s="53" t="s">
        <v>3</v>
      </c>
      <c r="E3" s="12"/>
      <c r="F3" s="10"/>
      <c r="G3" s="10"/>
      <c r="H3" s="14"/>
      <c r="J3" s="18" t="s">
        <v>31</v>
      </c>
      <c r="K3" s="16" t="s">
        <v>32</v>
      </c>
      <c r="L3" s="17"/>
      <c r="M3" s="16" t="s">
        <v>39</v>
      </c>
      <c r="N3" s="17"/>
      <c r="O3" s="54"/>
      <c r="P3" s="54"/>
      <c r="Q3" s="54"/>
      <c r="R3" s="54"/>
    </row>
    <row r="4" ht="15.0" customHeight="1">
      <c r="A4" s="39"/>
      <c r="B4" s="42"/>
      <c r="C4" s="10"/>
      <c r="D4" s="55">
        <f>SQRT(((G8-C8)*(G8-C8))+(E16*E16))</f>
        <v>108.8415546</v>
      </c>
      <c r="E4" s="10"/>
      <c r="F4" s="10"/>
      <c r="G4" s="10"/>
      <c r="H4" s="14"/>
      <c r="J4" s="22" t="s">
        <v>40</v>
      </c>
      <c r="K4" s="32" t="s">
        <v>41</v>
      </c>
      <c r="L4" s="17"/>
      <c r="M4" s="32" t="s">
        <v>42</v>
      </c>
      <c r="N4" s="17"/>
      <c r="O4" s="54"/>
      <c r="P4" s="54"/>
      <c r="Q4" s="54"/>
      <c r="R4" s="54"/>
    </row>
    <row r="5" ht="15.0" customHeight="1">
      <c r="A5" s="39"/>
      <c r="B5" s="42"/>
      <c r="C5" s="10"/>
      <c r="D5" s="10"/>
      <c r="E5" s="10"/>
      <c r="F5" s="10"/>
      <c r="G5" s="10"/>
      <c r="H5" s="14"/>
    </row>
    <row r="6" ht="15.0" customHeight="1">
      <c r="A6" s="39"/>
      <c r="B6" s="42"/>
      <c r="C6" s="10"/>
      <c r="D6" s="10"/>
      <c r="E6" s="10"/>
      <c r="F6" s="10"/>
      <c r="G6" s="10"/>
      <c r="H6" s="14"/>
    </row>
    <row r="7" ht="15.0" customHeight="1">
      <c r="A7" s="56"/>
      <c r="B7" s="45"/>
      <c r="C7" s="57" t="s">
        <v>22</v>
      </c>
      <c r="D7" s="10"/>
      <c r="E7" s="10"/>
      <c r="F7" s="10"/>
      <c r="G7" s="58" t="s">
        <v>21</v>
      </c>
      <c r="H7" s="28"/>
    </row>
    <row r="8" ht="15.0" customHeight="1">
      <c r="A8" s="59"/>
      <c r="B8" s="60"/>
      <c r="C8" s="61">
        <v>0.0</v>
      </c>
      <c r="D8" s="10"/>
      <c r="E8" s="10"/>
      <c r="F8" s="10"/>
      <c r="G8" s="62">
        <v>54.42</v>
      </c>
      <c r="H8" s="14"/>
    </row>
    <row r="9" ht="15.0" customHeight="1">
      <c r="A9" s="39"/>
      <c r="B9" s="42"/>
      <c r="C9" s="10"/>
      <c r="D9" s="10"/>
      <c r="E9" s="10"/>
      <c r="F9" s="10"/>
      <c r="G9" s="10"/>
      <c r="H9" s="14"/>
    </row>
    <row r="10" ht="15.0" customHeight="1">
      <c r="A10" s="39"/>
      <c r="B10" s="42"/>
      <c r="C10" s="10"/>
      <c r="D10" s="10"/>
      <c r="E10" s="10"/>
      <c r="F10" s="10"/>
      <c r="G10" s="10"/>
      <c r="H10" s="14"/>
    </row>
    <row r="11" ht="15.0" customHeight="1">
      <c r="A11" s="39"/>
      <c r="B11" s="42"/>
      <c r="C11" s="10"/>
      <c r="D11" s="10"/>
      <c r="E11" s="10"/>
      <c r="F11" s="10"/>
      <c r="G11" s="10"/>
      <c r="H11" s="14"/>
    </row>
    <row r="12" ht="15.0" customHeight="1">
      <c r="A12" s="39"/>
      <c r="B12" s="42"/>
      <c r="C12" s="10"/>
      <c r="D12" s="10"/>
      <c r="E12" s="10"/>
      <c r="F12" s="10"/>
      <c r="G12" s="10"/>
      <c r="H12" s="14"/>
    </row>
    <row r="13" ht="15.0" customHeight="1">
      <c r="A13" s="39"/>
      <c r="B13" s="42"/>
      <c r="C13" s="10"/>
      <c r="D13" s="10"/>
      <c r="E13" s="10"/>
      <c r="F13" s="10"/>
      <c r="G13" s="10"/>
      <c r="H13" s="14"/>
      <c r="K13" s="1"/>
    </row>
    <row r="14" ht="15.0" customHeight="1">
      <c r="A14" s="39"/>
      <c r="B14" s="42"/>
      <c r="C14" s="10"/>
      <c r="D14" s="10"/>
      <c r="E14" s="10"/>
      <c r="F14" s="10"/>
      <c r="G14" s="10"/>
      <c r="H14" s="14"/>
    </row>
    <row r="15" ht="15.0" customHeight="1">
      <c r="A15" s="39"/>
      <c r="B15" s="42"/>
      <c r="C15" s="10"/>
      <c r="D15" s="33"/>
      <c r="E15" s="63" t="s">
        <v>37</v>
      </c>
      <c r="F15" s="33"/>
      <c r="G15" s="10"/>
      <c r="H15" s="14"/>
    </row>
    <row r="16" ht="15.0" customHeight="1">
      <c r="A16" s="39"/>
      <c r="B16" s="42"/>
      <c r="C16" s="10"/>
      <c r="D16" s="10"/>
      <c r="E16" s="64">
        <v>94.26</v>
      </c>
      <c r="F16" s="10"/>
      <c r="G16" s="10"/>
      <c r="H16" s="14"/>
    </row>
    <row r="17" ht="11.25" customHeight="1">
      <c r="B17" s="36"/>
      <c r="C17" s="37"/>
      <c r="D17" s="37"/>
      <c r="E17" s="37"/>
      <c r="F17" s="37"/>
      <c r="G17" s="37"/>
      <c r="H17" s="38"/>
    </row>
    <row r="18" ht="15.0" customHeight="1"/>
    <row r="19" ht="15.0" customHeight="1">
      <c r="A19" s="39"/>
      <c r="B19" s="52"/>
      <c r="C19" s="3"/>
      <c r="D19" s="3"/>
      <c r="E19" s="4" t="s">
        <v>1</v>
      </c>
      <c r="F19" s="5">
        <f>DEGREES(H19)</f>
        <v>33.93199056</v>
      </c>
      <c r="G19" s="3"/>
      <c r="H19" s="6">
        <f>ASIN(((C25-G25)/D21))</f>
        <v>0.5922249571</v>
      </c>
    </row>
    <row r="20" ht="15.0" customHeight="1">
      <c r="A20" s="39"/>
      <c r="B20" s="42"/>
      <c r="C20" s="10"/>
      <c r="D20" s="53" t="s">
        <v>3</v>
      </c>
      <c r="E20" s="12"/>
      <c r="F20" s="10"/>
      <c r="G20" s="10"/>
      <c r="H20" s="14"/>
    </row>
    <row r="21" ht="15.0" customHeight="1">
      <c r="A21" s="39"/>
      <c r="B21" s="42"/>
      <c r="C21" s="10"/>
      <c r="D21" s="55">
        <f>SQRT(((G25-C25)*(G25-C25))+(E33*E33))</f>
        <v>197.0590013</v>
      </c>
      <c r="E21" s="10"/>
      <c r="F21" s="10"/>
      <c r="G21" s="10"/>
      <c r="H21" s="14"/>
    </row>
    <row r="22" ht="15.0" customHeight="1">
      <c r="A22" s="39"/>
      <c r="B22" s="42"/>
      <c r="C22" s="10"/>
      <c r="D22" s="10"/>
      <c r="E22" s="10"/>
      <c r="F22" s="10"/>
      <c r="G22" s="10"/>
      <c r="H22" s="14"/>
    </row>
    <row r="23" ht="15.0" customHeight="1">
      <c r="A23" s="39"/>
      <c r="B23" s="42"/>
      <c r="C23" s="10"/>
      <c r="D23" s="10"/>
      <c r="E23" s="10"/>
      <c r="F23" s="10"/>
      <c r="G23" s="10"/>
      <c r="H23" s="14"/>
    </row>
    <row r="24" ht="15.0" customHeight="1">
      <c r="A24" s="65"/>
      <c r="B24" s="66"/>
      <c r="C24" s="67" t="s">
        <v>21</v>
      </c>
      <c r="D24" s="10"/>
      <c r="E24" s="10"/>
      <c r="F24" s="10"/>
      <c r="G24" s="68" t="s">
        <v>22</v>
      </c>
      <c r="H24" s="28"/>
    </row>
    <row r="25" ht="15.0" customHeight="1">
      <c r="A25" s="59"/>
      <c r="B25" s="60"/>
      <c r="C25" s="61">
        <v>110.0</v>
      </c>
      <c r="D25" s="10"/>
      <c r="E25" s="10"/>
      <c r="F25" s="10"/>
      <c r="G25" s="62">
        <v>0.0</v>
      </c>
      <c r="H25" s="14"/>
    </row>
    <row r="26" ht="15.0" customHeight="1">
      <c r="A26" s="39"/>
      <c r="B26" s="42"/>
      <c r="C26" s="10"/>
      <c r="D26" s="10"/>
      <c r="E26" s="10"/>
      <c r="F26" s="10"/>
      <c r="G26" s="10"/>
      <c r="H26" s="14"/>
    </row>
    <row r="27" ht="15.0" customHeight="1">
      <c r="A27" s="39"/>
      <c r="B27" s="42"/>
      <c r="C27" s="10"/>
      <c r="D27" s="10"/>
      <c r="E27" s="10"/>
      <c r="F27" s="10"/>
      <c r="G27" s="10"/>
      <c r="H27" s="14"/>
    </row>
    <row r="28" ht="15.0" customHeight="1">
      <c r="A28" s="39"/>
      <c r="B28" s="42"/>
      <c r="C28" s="10"/>
      <c r="D28" s="10"/>
      <c r="E28" s="10"/>
      <c r="F28" s="10"/>
      <c r="G28" s="10"/>
      <c r="H28" s="14"/>
    </row>
    <row r="29" ht="15.0" customHeight="1">
      <c r="A29" s="39"/>
      <c r="B29" s="42"/>
      <c r="C29" s="10"/>
      <c r="D29" s="10"/>
      <c r="E29" s="10"/>
      <c r="F29" s="10"/>
      <c r="G29" s="10"/>
      <c r="H29" s="14"/>
    </row>
    <row r="30" ht="15.0" customHeight="1">
      <c r="A30" s="39"/>
      <c r="B30" s="42"/>
      <c r="C30" s="10"/>
      <c r="D30" s="10"/>
      <c r="E30" s="10"/>
      <c r="F30" s="10"/>
      <c r="G30" s="10"/>
      <c r="H30" s="14"/>
    </row>
    <row r="31" ht="15.0" customHeight="1">
      <c r="A31" s="39"/>
      <c r="B31" s="42"/>
      <c r="C31" s="10"/>
      <c r="D31" s="10"/>
      <c r="E31" s="10"/>
      <c r="F31" s="10"/>
      <c r="G31" s="10"/>
      <c r="H31" s="14"/>
    </row>
    <row r="32" ht="15.0" customHeight="1">
      <c r="A32" s="39"/>
      <c r="B32" s="42"/>
      <c r="C32" s="10"/>
      <c r="D32" s="33"/>
      <c r="E32" s="63" t="s">
        <v>37</v>
      </c>
      <c r="F32" s="33"/>
      <c r="G32" s="10"/>
      <c r="H32" s="14"/>
    </row>
    <row r="33" ht="15.0" customHeight="1">
      <c r="A33" s="39"/>
      <c r="B33" s="42"/>
      <c r="C33" s="10"/>
      <c r="D33" s="10"/>
      <c r="E33" s="64">
        <v>163.5</v>
      </c>
      <c r="F33" s="10"/>
      <c r="G33" s="10"/>
      <c r="H33" s="14"/>
    </row>
    <row r="34" ht="11.25" customHeight="1">
      <c r="B34" s="36"/>
      <c r="C34" s="37"/>
      <c r="D34" s="37"/>
      <c r="E34" s="37"/>
      <c r="F34" s="37"/>
      <c r="G34" s="37"/>
      <c r="H34" s="38"/>
    </row>
    <row r="35" ht="15.0" customHeight="1"/>
  </sheetData>
  <mergeCells count="4">
    <mergeCell ref="K3:L3"/>
    <mergeCell ref="M3:N3"/>
    <mergeCell ref="K4:L4"/>
    <mergeCell ref="M4:N4"/>
  </mergeCells>
  <drawing r:id="rId1"/>
</worksheet>
</file>